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duct Costs" sheetId="2" state="visible" r:id="rId4"/>
    <sheet name="Tier Profi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<sst xmlns="http://schemas.openxmlformats.org/spreadsheetml/2006/main" count="147" uniqueCount="107">
  <si>
    <t xml:space="preserve">ECAD — Cost &amp; Profit Model</t>
  </si>
  <si>
    <t xml:space="preserve">Editable assumptions — change any yellow cell and every tier recalculates automatically.</t>
  </si>
  <si>
    <t xml:space="preserve">Assumption</t>
  </si>
  <si>
    <t xml:space="preserve">Value</t>
  </si>
  <si>
    <t xml:space="preserve">Notes</t>
  </si>
  <si>
    <t xml:space="preserve">Hourly labor rate (JMD)</t>
  </si>
  <si>
    <t xml:space="preserve">Your working number as of Aug 2026 — raise this to see a more realistic benchmark</t>
  </si>
  <si>
    <t xml:space="preserve">Travel cost per job (JMD)</t>
  </si>
  <si>
    <t xml:space="preserve">Midpoint of your stated J$1,000–2,000 gas range</t>
  </si>
  <si>
    <t xml:space="preserve">USD to JMD exchange rate</t>
  </si>
  <si>
    <t xml:space="preserve">Mid-market rate, Aug 19 2026 — update periodically</t>
  </si>
  <si>
    <t xml:space="preserve">Product Cost Per Car</t>
  </si>
  <si>
    <t xml:space="preserve">Blue = price you gave me. Gold = revised after cross-referencing manufacturer/user data. Green = confirmed accurate.</t>
  </si>
  <si>
    <t xml:space="preserve">#</t>
  </si>
  <si>
    <t xml:space="preserve">Product</t>
  </si>
  <si>
    <t xml:space="preserve">Price (JMD)</t>
  </si>
  <si>
    <t xml:space="preserve">Coverage (cars/uses per unit)</t>
  </si>
  <si>
    <t xml:space="preserve">Cost per car (JMD)</t>
  </si>
  <si>
    <t xml:space="preserve">Status / Notes</t>
  </si>
  <si>
    <t xml:space="preserve">Hydro-X waterless wash</t>
  </si>
  <si>
    <t xml:space="preserve">Validated — jambs/skirts only, matches competitor benchmark</t>
  </si>
  <si>
    <t xml:space="preserve">Koch-Chemie RRW (rinseless)</t>
  </si>
  <si>
    <t xml:space="preserve">Label math only — unconfirmed, retest once used</t>
  </si>
  <si>
    <t xml:space="preserve">Koch-Chemie Green Star (APC)</t>
  </si>
  <si>
    <t xml:space="preserve">Revised UP from your 10-20 estimate — pro benchmark suggests 30-40+</t>
  </si>
  <si>
    <t xml:space="preserve">Car Candy Wax Soap</t>
  </si>
  <si>
    <t xml:space="preserve">1 gallon, 2oz/car — your own usage rate</t>
  </si>
  <si>
    <t xml:space="preserve">Car Candy Prewash</t>
  </si>
  <si>
    <t xml:space="preserve">1 gallon, 1oz/car</t>
  </si>
  <si>
    <t xml:space="preserve">Car Candy Interior Soap</t>
  </si>
  <si>
    <t xml:space="preserve">1 gallon, 1oz/car (diluted for general interior use)</t>
  </si>
  <si>
    <t xml:space="preserve">Cerakote Paint Sealant</t>
  </si>
  <si>
    <t xml:space="preserve">MAJOR REVISION — verified review says 2-3 cars/bottle, not 15</t>
  </si>
  <si>
    <t xml:space="preserve">Cerakote Plastic Restorer</t>
  </si>
  <si>
    <t xml:space="preserve">No published coverage data — your estimate stands</t>
  </si>
  <si>
    <t xml:space="preserve">Cerakote Interior Detailer</t>
  </si>
  <si>
    <t xml:space="preserve">Cerakote Wheel Sealant</t>
  </si>
  <si>
    <t xml:space="preserve">Cerakote Tyre Coating</t>
  </si>
  <si>
    <t xml:space="preserve">Turtle Wax Wet N Black (tyre)</t>
  </si>
  <si>
    <t xml:space="preserve">Revised DOWN from 15-20 — field report + your own Google check</t>
  </si>
  <si>
    <t xml:space="preserve">Turtle Wax Graphene Trim Restore</t>
  </si>
  <si>
    <t xml:space="preserve">Your estimate</t>
  </si>
  <si>
    <t xml:space="preserve">Turtle Wax Wheel Cleaner &amp; Prep</t>
  </si>
  <si>
    <t xml:space="preserve">$12 USD, 23oz, 10-15 washes</t>
  </si>
  <si>
    <t xml:space="preserve">HMH Tire Foam Shine</t>
  </si>
  <si>
    <t xml:space="preserve">6-7 washes</t>
  </si>
  <si>
    <t xml:space="preserve">Armor All APC</t>
  </si>
  <si>
    <t xml:space="preserve">PHASE-OUT PLANNED per your own strategy doc</t>
  </si>
  <si>
    <t xml:space="preserve">Armor All Glass Cleaner</t>
  </si>
  <si>
    <t xml:space="preserve">Spray Way Glass Cleaner</t>
  </si>
  <si>
    <t xml:space="preserve">23oz, $5-7 USD midpoint used</t>
  </si>
  <si>
    <t xml:space="preserve">The Car Guys Plastic Restorer</t>
  </si>
  <si>
    <t xml:space="preserve">8oz, 10-12 cars (Tier 1 plastic restorer)</t>
  </si>
  <si>
    <t xml:space="preserve">Glacius Air Freshener</t>
  </si>
  <si>
    <t xml:space="preserve">4-6oz, frosted fruits/mango</t>
  </si>
  <si>
    <t xml:space="preserve">Turtle Wax Leather Cleaner &amp; Cond.</t>
  </si>
  <si>
    <t xml:space="preserve">ESTIMATE — price unconfirmed, $18 USD placeholder used</t>
  </si>
  <si>
    <t xml:space="preserve">Meguiar's Iron Fallout Remover</t>
  </si>
  <si>
    <t xml:space="preserve">UWANT B300 Pro extractor fluid</t>
  </si>
  <si>
    <t xml:space="preserve">Bundled with equipment — J$0 marginal cost until refill purchased</t>
  </si>
  <si>
    <t xml:space="preserve">P&amp;S Rags to Riches Detergent (per load)</t>
  </si>
  <si>
    <t xml:space="preserve">Confirmed by product label: 32oz qt / 1.5oz avg dose</t>
  </si>
  <si>
    <t xml:space="preserve">  ↳ Per car (÷3 cars per wash load)</t>
  </si>
  <si>
    <t xml:space="preserve">Confirmed — matches your original math exactly</t>
  </si>
  <si>
    <t xml:space="preserve">Tier-by-Tier Profitability (Sedan pricing)</t>
  </si>
  <si>
    <t xml:space="preserve">Every product cost pulls live from the 'Product Costs' tab. Revenue cells (blue) are editable for SUV/Pickup pricing.</t>
  </si>
  <si>
    <t xml:space="preserve">TIER 0 — FOUNDATION</t>
  </si>
  <si>
    <t xml:space="preserve">35 min (30-40 min range)</t>
  </si>
  <si>
    <t xml:space="preserve">Hydro-X (jambs/skirts)</t>
  </si>
  <si>
    <t xml:space="preserve">Tyre dressing (Wet N Black)</t>
  </si>
  <si>
    <t xml:space="preserve">Glass cleaner (exterior)</t>
  </si>
  <si>
    <t xml:space="preserve">Towel detergent</t>
  </si>
  <si>
    <t xml:space="preserve">Product cost total</t>
  </si>
  <si>
    <t xml:space="preserve">Labor (0.583 hrs × hourly rate)</t>
  </si>
  <si>
    <t xml:space="preserve">Travel</t>
  </si>
  <si>
    <t xml:space="preserve">TOTAL COST</t>
  </si>
  <si>
    <t xml:space="preserve">Vehicle Class</t>
  </si>
  <si>
    <t xml:space="preserve">Revenue (JMD)</t>
  </si>
  <si>
    <t xml:space="preserve">Profit (JMD)</t>
  </si>
  <si>
    <t xml:space="preserve">Margin %</t>
  </si>
  <si>
    <t xml:space="preserve">Sedan</t>
  </si>
  <si>
    <t xml:space="preserve">SUV</t>
  </si>
  <si>
    <t xml:space="preserve">Pickup/Van</t>
  </si>
  <si>
    <t xml:space="preserve">TIER 1 — REFINED</t>
  </si>
  <si>
    <t xml:space="preserve">82.5 min (75-90 min range)</t>
  </si>
  <si>
    <t xml:space="preserve">Everything in Foundation</t>
  </si>
  <si>
    <t xml:space="preserve">Prewash</t>
  </si>
  <si>
    <t xml:space="preserve">APC dashboard/console (Green Star)</t>
  </si>
  <si>
    <t xml:space="preserve">Glass cleaner (interior)</t>
  </si>
  <si>
    <t xml:space="preserve">Wheel cleaner combo (Turtle Wax + HMH)</t>
  </si>
  <si>
    <t xml:space="preserve">Plastic restorer (Car Guys)</t>
  </si>
  <si>
    <t xml:space="preserve">Tyre gel dressing</t>
  </si>
  <si>
    <t xml:space="preserve">Labor (1.375 hrs × hourly rate)</t>
  </si>
  <si>
    <t xml:space="preserve">TIER 2 — ELEVATED</t>
  </si>
  <si>
    <t xml:space="preserve">2.5 hrs (2-3 hr range)</t>
  </si>
  <si>
    <t xml:space="preserve">Everything in Refined</t>
  </si>
  <si>
    <t xml:space="preserve">Seat shampoo/extraction (UWANT fluid)</t>
  </si>
  <si>
    <t xml:space="preserve">Carpet deep clean (UWANT fluid)</t>
  </si>
  <si>
    <t xml:space="preserve">Leather clean &amp; condition</t>
  </si>
  <si>
    <t xml:space="preserve">Labor (2.5 hrs × hourly rate)</t>
  </si>
  <si>
    <t xml:space="preserve">TIER 3 — SOVEREIGN</t>
  </si>
  <si>
    <t xml:space="preserve">3.5 hrs (your estimate)</t>
  </si>
  <si>
    <t xml:space="preserve">Everything in Elevated</t>
  </si>
  <si>
    <t xml:space="preserve">Clay lube (wax soap, 2nd pass)</t>
  </si>
  <si>
    <t xml:space="preserve">Iron fallout remover</t>
  </si>
  <si>
    <t xml:space="preserve">Cerakote Tyre Sealant</t>
  </si>
  <si>
    <t xml:space="preserve">Labor (3.5 hrs × hourly rate)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</si>
</sst>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1F293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E8EAED"/>
      </patternFill>
    </fill>
    <fill>
      <patternFill patternType="solid">
        <fgColor rgb="FFFCE8B0"/>
        <bgColor rgb="FFFFFFCC"/>
      </patternFill>
    </fill>
    <fill>
      <patternFill patternType="solid">
        <fgColor rgb="FFF4CCCC"/>
        <bgColor rgb="FFCCCCCC"/>
      </patternFill>
    </fill>
    <fill>
      <patternFill patternType="solid">
        <fgColor rgb="FFE8EAED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A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0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6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 t="s">
        <v>3</v>
      </c>
      <c r="D5" s="4" t="s">
        <v>4</v>
      </c>
    </row>
    <row r="6" customFormat="false" ht="15" hidden="false" customHeight="true" outlineLevel="0" collapsed="false">
      <c r="B6" s="5" t="s">
        <v>5</v>
      </c>
      <c r="C6" s="6" t="n">
        <v>1250</v>
      </c>
      <c r="D6" s="7" t="s">
        <v>6</v>
      </c>
    </row>
    <row r="7" customFormat="false" ht="15" hidden="false" customHeight="true" outlineLevel="0" collapsed="false">
      <c r="B7" s="5" t="s">
        <v>7</v>
      </c>
      <c r="C7" s="6" t="n">
        <v>1500</v>
      </c>
      <c r="D7" s="7" t="s">
        <v>8</v>
      </c>
    </row>
    <row r="8" customFormat="false" ht="15" hidden="false" customHeight="true" outlineLevel="0" collapsed="false">
      <c r="B8" s="5" t="s">
        <v>9</v>
      </c>
      <c r="C8" s="6" t="n">
        <v>158</v>
      </c>
      <c r="D8" s="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6" min="5" style="1" width="14"/>
    <col collapsed="false" customWidth="true" hidden="false" outlineLevel="0" max="7" min="7" style="1" width="52"/>
  </cols>
  <sheetData>
    <row r="2" customFormat="false" ht="19.5" hidden="false" customHeight="true" outlineLevel="0" collapsed="false">
      <c r="B2" s="2" t="s">
        <v>11</v>
      </c>
    </row>
    <row r="3" customFormat="false" ht="15" hidden="false" customHeight="true" outlineLevel="0" collapsed="false">
      <c r="B3" s="8" t="s">
        <v>12</v>
      </c>
    </row>
    <row r="5" customFormat="false" ht="39" hidden="false" customHeight="true" outlineLevel="0" collapsed="false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</row>
    <row r="6" customFormat="false" ht="15" hidden="false" customHeight="true" outlineLevel="0" collapsed="false">
      <c r="B6" s="5" t="n">
        <v>1</v>
      </c>
      <c r="C6" s="5" t="s">
        <v>19</v>
      </c>
      <c r="D6" s="10" t="n">
        <v>2500</v>
      </c>
      <c r="E6" s="11" t="n">
        <v>25</v>
      </c>
      <c r="F6" s="12" t="n">
        <f aca="false">IFERROR(D6/E6,0)</f>
        <v>100</v>
      </c>
      <c r="G6" s="7" t="s">
        <v>20</v>
      </c>
    </row>
    <row r="7" customFormat="false" ht="15" hidden="false" customHeight="true" outlineLevel="0" collapsed="false">
      <c r="B7" s="5" t="n">
        <v>2</v>
      </c>
      <c r="C7" s="5" t="s">
        <v>21</v>
      </c>
      <c r="D7" s="10" t="n">
        <v>4108</v>
      </c>
      <c r="E7" s="11" t="n">
        <v>56</v>
      </c>
      <c r="F7" s="13" t="n">
        <f aca="false">IFERROR(D7/E7,0)</f>
        <v>73.3571428571429</v>
      </c>
      <c r="G7" s="7" t="s">
        <v>22</v>
      </c>
    </row>
    <row r="8" customFormat="false" ht="15" hidden="false" customHeight="true" outlineLevel="0" collapsed="false">
      <c r="B8" s="5" t="n">
        <v>3</v>
      </c>
      <c r="C8" s="5" t="s">
        <v>23</v>
      </c>
      <c r="D8" s="10" t="n">
        <v>3948</v>
      </c>
      <c r="E8" s="11" t="n">
        <v>35</v>
      </c>
      <c r="F8" s="14" t="n">
        <f aca="false">IFERROR(D8/E8,0)</f>
        <v>112.8</v>
      </c>
      <c r="G8" s="7" t="s">
        <v>24</v>
      </c>
    </row>
    <row r="9" customFormat="false" ht="15" hidden="false" customHeight="true" outlineLevel="0" collapsed="false">
      <c r="B9" s="5" t="n">
        <v>4</v>
      </c>
      <c r="C9" s="5" t="s">
        <v>25</v>
      </c>
      <c r="D9" s="10" t="n">
        <v>5500</v>
      </c>
      <c r="E9" s="11" t="n">
        <v>64</v>
      </c>
      <c r="F9" s="12" t="n">
        <f aca="false">IFERROR(D9/E9,0)</f>
        <v>85.9375</v>
      </c>
      <c r="G9" s="7" t="s">
        <v>26</v>
      </c>
    </row>
    <row r="10" customFormat="false" ht="15" hidden="false" customHeight="true" outlineLevel="0" collapsed="false">
      <c r="B10" s="5" t="n">
        <v>5</v>
      </c>
      <c r="C10" s="5" t="s">
        <v>27</v>
      </c>
      <c r="D10" s="10" t="n">
        <v>5500</v>
      </c>
      <c r="E10" s="11" t="n">
        <v>128</v>
      </c>
      <c r="F10" s="12" t="n">
        <f aca="false">IFERROR(D10/E10,0)</f>
        <v>42.96875</v>
      </c>
      <c r="G10" s="7" t="s">
        <v>28</v>
      </c>
    </row>
    <row r="11" customFormat="false" ht="15" hidden="false" customHeight="true" outlineLevel="0" collapsed="false">
      <c r="B11" s="5" t="n">
        <v>6</v>
      </c>
      <c r="C11" s="5" t="s">
        <v>29</v>
      </c>
      <c r="D11" s="10" t="n">
        <v>5500</v>
      </c>
      <c r="E11" s="11" t="n">
        <v>128</v>
      </c>
      <c r="F11" s="12" t="n">
        <f aca="false">IFERROR(D11/E11,0)</f>
        <v>42.96875</v>
      </c>
      <c r="G11" s="7" t="s">
        <v>30</v>
      </c>
    </row>
    <row r="12" customFormat="false" ht="15" hidden="false" customHeight="true" outlineLevel="0" collapsed="false">
      <c r="B12" s="5" t="n">
        <v>7</v>
      </c>
      <c r="C12" s="5" t="s">
        <v>31</v>
      </c>
      <c r="D12" s="10" t="n">
        <v>3111</v>
      </c>
      <c r="E12" s="11" t="n">
        <v>2.5</v>
      </c>
      <c r="F12" s="15" t="n">
        <f aca="false">IFERROR(D12/E12,0)</f>
        <v>1244.4</v>
      </c>
      <c r="G12" s="7" t="s">
        <v>32</v>
      </c>
    </row>
    <row r="13" customFormat="false" ht="15" hidden="false" customHeight="true" outlineLevel="0" collapsed="false">
      <c r="B13" s="5" t="n">
        <v>8</v>
      </c>
      <c r="C13" s="5" t="s">
        <v>33</v>
      </c>
      <c r="D13" s="10" t="n">
        <v>2354</v>
      </c>
      <c r="E13" s="11" t="n">
        <v>15</v>
      </c>
      <c r="F13" s="13" t="n">
        <f aca="false">IFERROR(D13/E13,0)</f>
        <v>156.933333333333</v>
      </c>
      <c r="G13" s="7" t="s">
        <v>34</v>
      </c>
    </row>
    <row r="14" customFormat="false" ht="15" hidden="false" customHeight="true" outlineLevel="0" collapsed="false">
      <c r="B14" s="5" t="n">
        <v>9</v>
      </c>
      <c r="C14" s="5" t="s">
        <v>35</v>
      </c>
      <c r="D14" s="10" t="n">
        <v>1838</v>
      </c>
      <c r="E14" s="11" t="n">
        <v>15</v>
      </c>
      <c r="F14" s="13" t="n">
        <f aca="false">IFERROR(D14/E14,0)</f>
        <v>122.533333333333</v>
      </c>
      <c r="G14" s="7" t="s">
        <v>34</v>
      </c>
    </row>
    <row r="15" customFormat="false" ht="15" hidden="false" customHeight="true" outlineLevel="0" collapsed="false">
      <c r="B15" s="5" t="n">
        <v>10</v>
      </c>
      <c r="C15" s="5" t="s">
        <v>36</v>
      </c>
      <c r="D15" s="10" t="n">
        <v>2520</v>
      </c>
      <c r="E15" s="11" t="n">
        <v>15</v>
      </c>
      <c r="F15" s="13" t="n">
        <f aca="false">IFERROR(D15/E15,0)</f>
        <v>168</v>
      </c>
      <c r="G15" s="7" t="s">
        <v>34</v>
      </c>
    </row>
    <row r="16" customFormat="false" ht="15" hidden="false" customHeight="true" outlineLevel="0" collapsed="false">
      <c r="B16" s="5" t="n">
        <v>11</v>
      </c>
      <c r="C16" s="5" t="s">
        <v>37</v>
      </c>
      <c r="D16" s="10" t="n">
        <v>2362</v>
      </c>
      <c r="E16" s="11" t="n">
        <v>15</v>
      </c>
      <c r="F16" s="13" t="n">
        <f aca="false">IFERROR(D16/E16,0)</f>
        <v>157.466666666667</v>
      </c>
      <c r="G16" s="7" t="s">
        <v>34</v>
      </c>
    </row>
    <row r="17" customFormat="false" ht="15" hidden="false" customHeight="true" outlineLevel="0" collapsed="false">
      <c r="B17" s="5" t="n">
        <v>12</v>
      </c>
      <c r="C17" s="5" t="s">
        <v>38</v>
      </c>
      <c r="D17" s="10" t="n">
        <v>2700</v>
      </c>
      <c r="E17" s="11" t="n">
        <v>10</v>
      </c>
      <c r="F17" s="14" t="n">
        <f aca="false">IFERROR(D17/E17,0)</f>
        <v>270</v>
      </c>
      <c r="G17" s="7" t="s">
        <v>39</v>
      </c>
    </row>
    <row r="18" customFormat="false" ht="15" hidden="false" customHeight="true" outlineLevel="0" collapsed="false">
      <c r="B18" s="5" t="n">
        <v>13</v>
      </c>
      <c r="C18" s="5" t="s">
        <v>40</v>
      </c>
      <c r="D18" s="10" t="n">
        <v>3000</v>
      </c>
      <c r="E18" s="11" t="n">
        <v>30</v>
      </c>
      <c r="F18" s="13" t="n">
        <f aca="false">IFERROR(D18/E18,0)</f>
        <v>100</v>
      </c>
      <c r="G18" s="7" t="s">
        <v>41</v>
      </c>
    </row>
    <row r="19" customFormat="false" ht="15" hidden="false" customHeight="true" outlineLevel="0" collapsed="false">
      <c r="B19" s="5" t="n">
        <v>14</v>
      </c>
      <c r="C19" s="5" t="s">
        <v>42</v>
      </c>
      <c r="D19" s="10" t="n">
        <v>1896</v>
      </c>
      <c r="E19" s="11" t="n">
        <v>12.5</v>
      </c>
      <c r="F19" s="13" t="n">
        <f aca="false">IFERROR(D19/E19,0)</f>
        <v>151.68</v>
      </c>
      <c r="G19" s="7" t="s">
        <v>43</v>
      </c>
    </row>
    <row r="20" customFormat="false" ht="15" hidden="false" customHeight="true" outlineLevel="0" collapsed="false">
      <c r="B20" s="5" t="n">
        <v>15</v>
      </c>
      <c r="C20" s="5" t="s">
        <v>44</v>
      </c>
      <c r="D20" s="10" t="n">
        <v>750</v>
      </c>
      <c r="E20" s="11" t="n">
        <v>6.5</v>
      </c>
      <c r="F20" s="13" t="n">
        <f aca="false">IFERROR(D20/E20,0)</f>
        <v>115.384615384615</v>
      </c>
      <c r="G20" s="7" t="s">
        <v>45</v>
      </c>
    </row>
    <row r="21" customFormat="false" ht="15" hidden="false" customHeight="true" outlineLevel="0" collapsed="false">
      <c r="B21" s="5" t="n">
        <v>16</v>
      </c>
      <c r="C21" s="5" t="s">
        <v>46</v>
      </c>
      <c r="D21" s="10" t="n">
        <v>1633</v>
      </c>
      <c r="E21" s="11" t="n">
        <v>10</v>
      </c>
      <c r="F21" s="13" t="n">
        <f aca="false">IFERROR(D21/E21,0)</f>
        <v>163.3</v>
      </c>
      <c r="G21" s="7" t="s">
        <v>47</v>
      </c>
    </row>
    <row r="22" customFormat="false" ht="15" hidden="false" customHeight="true" outlineLevel="0" collapsed="false">
      <c r="B22" s="5" t="n">
        <v>17</v>
      </c>
      <c r="C22" s="5" t="s">
        <v>48</v>
      </c>
      <c r="D22" s="10" t="n">
        <v>1264</v>
      </c>
      <c r="E22" s="11" t="n">
        <v>7</v>
      </c>
      <c r="F22" s="13" t="n">
        <f aca="false">IFERROR(D22/E22,0)</f>
        <v>180.571428571429</v>
      </c>
      <c r="G22" s="7" t="s">
        <v>47</v>
      </c>
    </row>
    <row r="23" customFormat="false" ht="15" hidden="false" customHeight="true" outlineLevel="0" collapsed="false">
      <c r="B23" s="5" t="n">
        <v>18</v>
      </c>
      <c r="C23" s="5" t="s">
        <v>49</v>
      </c>
      <c r="D23" s="10" t="n">
        <v>948</v>
      </c>
      <c r="E23" s="11" t="n">
        <v>10</v>
      </c>
      <c r="F23" s="13" t="n">
        <f aca="false">IFERROR(D23/E23,0)</f>
        <v>94.8</v>
      </c>
      <c r="G23" s="7" t="s">
        <v>50</v>
      </c>
    </row>
    <row r="24" customFormat="false" ht="15" hidden="false" customHeight="true" outlineLevel="0" collapsed="false">
      <c r="B24" s="5" t="n">
        <v>19</v>
      </c>
      <c r="C24" s="5" t="s">
        <v>51</v>
      </c>
      <c r="D24" s="10" t="n">
        <v>3790</v>
      </c>
      <c r="E24" s="11" t="n">
        <v>11</v>
      </c>
      <c r="F24" s="13" t="n">
        <f aca="false">IFERROR(D24/E24,0)</f>
        <v>344.545454545455</v>
      </c>
      <c r="G24" s="7" t="s">
        <v>52</v>
      </c>
    </row>
    <row r="25" customFormat="false" ht="15" hidden="false" customHeight="true" outlineLevel="0" collapsed="false">
      <c r="B25" s="5" t="n">
        <v>20</v>
      </c>
      <c r="C25" s="5" t="s">
        <v>53</v>
      </c>
      <c r="D25" s="10" t="n">
        <v>1300</v>
      </c>
      <c r="E25" s="11" t="n">
        <v>5</v>
      </c>
      <c r="F25" s="13" t="n">
        <f aca="false">IFERROR(D25/E25,0)</f>
        <v>260</v>
      </c>
      <c r="G25" s="7" t="s">
        <v>54</v>
      </c>
    </row>
    <row r="26" customFormat="false" ht="15" hidden="false" customHeight="true" outlineLevel="0" collapsed="false">
      <c r="B26" s="5" t="n">
        <v>21</v>
      </c>
      <c r="C26" s="5" t="s">
        <v>55</v>
      </c>
      <c r="D26" s="10" t="n">
        <v>2844</v>
      </c>
      <c r="E26" s="11" t="n">
        <v>16</v>
      </c>
      <c r="F26" s="13" t="n">
        <f aca="false">IFERROR(D26/E26,0)</f>
        <v>177.75</v>
      </c>
      <c r="G26" s="7" t="s">
        <v>56</v>
      </c>
    </row>
    <row r="27" customFormat="false" ht="15" hidden="false" customHeight="true" outlineLevel="0" collapsed="false">
      <c r="B27" s="5" t="n">
        <v>22</v>
      </c>
      <c r="C27" s="5" t="s">
        <v>57</v>
      </c>
      <c r="D27" s="10" t="n">
        <v>2844</v>
      </c>
      <c r="E27" s="11" t="n">
        <v>12.5</v>
      </c>
      <c r="F27" s="13" t="n">
        <f aca="false">IFERROR(D27/E27,0)</f>
        <v>227.52</v>
      </c>
      <c r="G27" s="7" t="s">
        <v>56</v>
      </c>
    </row>
    <row r="28" customFormat="false" ht="15" hidden="false" customHeight="true" outlineLevel="0" collapsed="false">
      <c r="B28" s="5" t="n">
        <v>23</v>
      </c>
      <c r="C28" s="5" t="s">
        <v>58</v>
      </c>
      <c r="D28" s="10" t="n">
        <v>0</v>
      </c>
      <c r="E28" s="11" t="n">
        <v>1</v>
      </c>
      <c r="F28" s="13" t="n">
        <f aca="false">IFERROR(D28/E28,0)</f>
        <v>0</v>
      </c>
      <c r="G28" s="7" t="s">
        <v>59</v>
      </c>
    </row>
    <row r="30" customFormat="false" ht="15" hidden="false" customHeight="true" outlineLevel="0" collapsed="false">
      <c r="B30" s="16"/>
      <c r="C30" s="17" t="s">
        <v>60</v>
      </c>
      <c r="D30" s="10" t="n">
        <v>3626</v>
      </c>
      <c r="E30" s="11" t="n">
        <v>21.3</v>
      </c>
      <c r="F30" s="12" t="n">
        <f aca="false">IFERROR(D30/E30,0)</f>
        <v>170.234741784038</v>
      </c>
      <c r="G30" s="7" t="s">
        <v>61</v>
      </c>
    </row>
    <row r="31" customFormat="false" ht="15" hidden="false" customHeight="true" outlineLevel="0" collapsed="false">
      <c r="B31" s="16"/>
      <c r="C31" s="5" t="s">
        <v>62</v>
      </c>
      <c r="D31" s="16"/>
      <c r="E31" s="18" t="n">
        <v>3</v>
      </c>
      <c r="F31" s="12" t="n">
        <f aca="false">F30/E31</f>
        <v>56.7449139280125</v>
      </c>
      <c r="G31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</cols>
  <sheetData>
    <row r="2" customFormat="false" ht="19.7" hidden="false" customHeight="false" outlineLevel="0" collapsed="false">
      <c r="B2" s="19" t="s">
        <v>64</v>
      </c>
    </row>
    <row r="3" customFormat="false" ht="15" hidden="false" customHeight="false" outlineLevel="0" collapsed="false">
      <c r="B3" s="20" t="s">
        <v>65</v>
      </c>
    </row>
    <row r="5" customFormat="false" ht="16.15" hidden="false" customHeight="false" outlineLevel="0" collapsed="false">
      <c r="B5" s="21" t="s">
        <v>66</v>
      </c>
      <c r="C5" s="22"/>
      <c r="D5" s="22"/>
      <c r="E5" s="23" t="s">
        <v>67</v>
      </c>
    </row>
    <row r="6" customFormat="false" ht="15" hidden="false" customHeight="false" outlineLevel="0" collapsed="false">
      <c r="B6" s="24"/>
      <c r="C6" s="25" t="s">
        <v>68</v>
      </c>
      <c r="D6" s="26" t="n">
        <f aca="false">'Product Costs'!$F$6</f>
        <v>100</v>
      </c>
      <c r="E6" s="24"/>
    </row>
    <row r="7" customFormat="false" ht="15" hidden="false" customHeight="false" outlineLevel="0" collapsed="false">
      <c r="B7" s="24"/>
      <c r="C7" s="25" t="s">
        <v>69</v>
      </c>
      <c r="D7" s="26" t="n">
        <f aca="false">'Product Costs'!$F$17</f>
        <v>270</v>
      </c>
      <c r="E7" s="24"/>
    </row>
    <row r="8" customFormat="false" ht="15" hidden="false" customHeight="false" outlineLevel="0" collapsed="false">
      <c r="B8" s="24"/>
      <c r="C8" s="25" t="s">
        <v>70</v>
      </c>
      <c r="D8" s="26" t="n">
        <f aca="false">AVERAGE('Product Costs'!$F$23,'Product Costs'!$F$22)</f>
        <v>137.685714285714</v>
      </c>
      <c r="E8" s="24"/>
    </row>
    <row r="9" customFormat="false" ht="15" hidden="false" customHeight="false" outlineLevel="0" collapsed="false">
      <c r="B9" s="24"/>
      <c r="C9" s="25" t="s">
        <v>71</v>
      </c>
      <c r="D9" s="26" t="n">
        <f aca="false">'Product Costs'!$F$31</f>
        <v>56.7449139280125</v>
      </c>
      <c r="E9" s="24"/>
    </row>
    <row r="10" customFormat="false" ht="15" hidden="false" customHeight="false" outlineLevel="0" collapsed="false">
      <c r="B10" s="24"/>
      <c r="C10" s="27" t="s">
        <v>72</v>
      </c>
      <c r="D10" s="28" t="n">
        <f aca="false">SUM(D6:D9)</f>
        <v>564.430628213727</v>
      </c>
      <c r="E10" s="24"/>
    </row>
    <row r="11" customFormat="false" ht="15" hidden="false" customHeight="false" outlineLevel="0" collapsed="false">
      <c r="B11" s="24"/>
      <c r="C11" s="25" t="s">
        <v>73</v>
      </c>
      <c r="D11" s="26" t="n">
        <f aca="false">0.583*Assumptions!$C$6</f>
        <v>728.75</v>
      </c>
      <c r="E11" s="24"/>
    </row>
    <row r="12" customFormat="false" ht="15" hidden="false" customHeight="false" outlineLevel="0" collapsed="false">
      <c r="B12" s="24"/>
      <c r="C12" s="25" t="s">
        <v>74</v>
      </c>
      <c r="D12" s="26" t="n">
        <f aca="false">Assumptions!$C$7</f>
        <v>1500</v>
      </c>
      <c r="E12" s="24"/>
    </row>
    <row r="13" customFormat="false" ht="15" hidden="false" customHeight="false" outlineLevel="0" collapsed="false">
      <c r="B13" s="24"/>
      <c r="C13" s="27" t="s">
        <v>75</v>
      </c>
      <c r="D13" s="29" t="n">
        <f aca="false">D10+D11+D12</f>
        <v>2793.18062821373</v>
      </c>
      <c r="E13" s="24"/>
    </row>
    <row r="15" customFormat="false" ht="15" hidden="false" customHeight="false" outlineLevel="0" collapsed="false">
      <c r="C15" s="4" t="s">
        <v>76</v>
      </c>
      <c r="D15" s="4" t="s">
        <v>77</v>
      </c>
      <c r="E15" s="4" t="s">
        <v>78</v>
      </c>
      <c r="F15" s="4" t="s">
        <v>79</v>
      </c>
    </row>
    <row r="16" customFormat="false" ht="15" hidden="false" customHeight="false" outlineLevel="0" collapsed="false">
      <c r="C16" s="25" t="s">
        <v>80</v>
      </c>
      <c r="D16" s="30" t="n">
        <v>5500</v>
      </c>
      <c r="E16" s="31" t="n">
        <f aca="false">D16-D13</f>
        <v>2706.81937178627</v>
      </c>
      <c r="F16" s="32" t="n">
        <f aca="false">IFERROR(E16/D16,0)</f>
        <v>0.492148976688413</v>
      </c>
    </row>
    <row r="17" customFormat="false" ht="15" hidden="false" customHeight="false" outlineLevel="0" collapsed="false">
      <c r="C17" s="25" t="s">
        <v>81</v>
      </c>
      <c r="D17" s="30" t="n">
        <v>6500</v>
      </c>
      <c r="E17" s="31" t="n">
        <f aca="false">D17-D13</f>
        <v>3706.81937178627</v>
      </c>
      <c r="F17" s="32" t="n">
        <f aca="false">IFERROR(E17/D17,0)</f>
        <v>0.570279903351734</v>
      </c>
    </row>
    <row r="18" customFormat="false" ht="15" hidden="false" customHeight="false" outlineLevel="0" collapsed="false">
      <c r="C18" s="25" t="s">
        <v>82</v>
      </c>
      <c r="D18" s="30" t="n">
        <v>7500</v>
      </c>
      <c r="E18" s="31" t="n">
        <f aca="false">D18-D13</f>
        <v>4706.81937178627</v>
      </c>
      <c r="F18" s="32" t="n">
        <f aca="false">IFERROR(E18/D18,0)</f>
        <v>0.62757591623817</v>
      </c>
    </row>
    <row r="21" customFormat="false" ht="16.15" hidden="false" customHeight="false" outlineLevel="0" collapsed="false">
      <c r="B21" s="21" t="s">
        <v>83</v>
      </c>
      <c r="C21" s="22"/>
      <c r="D21" s="22"/>
      <c r="E21" s="23" t="s">
        <v>84</v>
      </c>
    </row>
    <row r="22" customFormat="false" ht="15" hidden="false" customHeight="false" outlineLevel="0" collapsed="false">
      <c r="B22" s="24"/>
      <c r="C22" s="25" t="s">
        <v>85</v>
      </c>
      <c r="D22" s="33" t="n">
        <f aca="false">'Tier Profitability'!$D$10</f>
        <v>564.430628213727</v>
      </c>
      <c r="E22" s="24"/>
    </row>
    <row r="23" customFormat="false" ht="15" hidden="false" customHeight="false" outlineLevel="0" collapsed="false">
      <c r="B23" s="24"/>
      <c r="C23" s="25" t="s">
        <v>86</v>
      </c>
      <c r="D23" s="26" t="n">
        <f aca="false">'Product Costs'!$F$10</f>
        <v>42.96875</v>
      </c>
      <c r="E23" s="24"/>
    </row>
    <row r="24" customFormat="false" ht="15" hidden="false" customHeight="false" outlineLevel="0" collapsed="false">
      <c r="B24" s="24"/>
      <c r="C24" s="25" t="s">
        <v>87</v>
      </c>
      <c r="D24" s="26" t="n">
        <f aca="false">'Product Costs'!$F$8</f>
        <v>112.8</v>
      </c>
      <c r="E24" s="24"/>
    </row>
    <row r="25" customFormat="false" ht="15" hidden="false" customHeight="false" outlineLevel="0" collapsed="false">
      <c r="B25" s="24"/>
      <c r="C25" s="25" t="s">
        <v>88</v>
      </c>
      <c r="D25" s="26" t="n">
        <f aca="false">AVERAGE('Product Costs'!$F$23,'Product Costs'!$F$22)</f>
        <v>137.685714285714</v>
      </c>
      <c r="E25" s="24"/>
    </row>
    <row r="26" customFormat="false" ht="15" hidden="false" customHeight="false" outlineLevel="0" collapsed="false">
      <c r="B26" s="24"/>
      <c r="C26" s="25" t="s">
        <v>89</v>
      </c>
      <c r="D26" s="26" t="n">
        <f aca="false">'Product Costs'!$F$19+'Product Costs'!$F$20</f>
        <v>267.064615384615</v>
      </c>
      <c r="E26" s="24"/>
    </row>
    <row r="27" customFormat="false" ht="15" hidden="false" customHeight="false" outlineLevel="0" collapsed="false">
      <c r="B27" s="24"/>
      <c r="C27" s="25" t="s">
        <v>90</v>
      </c>
      <c r="D27" s="26" t="n">
        <f aca="false">'Product Costs'!$F$24</f>
        <v>344.545454545455</v>
      </c>
      <c r="E27" s="24"/>
    </row>
    <row r="28" customFormat="false" ht="15" hidden="false" customHeight="false" outlineLevel="0" collapsed="false">
      <c r="B28" s="24"/>
      <c r="C28" s="25" t="s">
        <v>91</v>
      </c>
      <c r="D28" s="26" t="n">
        <f aca="false">'Product Costs'!$F$17</f>
        <v>270</v>
      </c>
      <c r="E28" s="24"/>
    </row>
    <row r="29" customFormat="false" ht="15" hidden="false" customHeight="false" outlineLevel="0" collapsed="false">
      <c r="B29" s="24"/>
      <c r="C29" s="27" t="s">
        <v>72</v>
      </c>
      <c r="D29" s="28" t="n">
        <f aca="false">SUM(D22:D28)</f>
        <v>1739.49516242951</v>
      </c>
      <c r="E29" s="24"/>
    </row>
    <row r="30" customFormat="false" ht="15" hidden="false" customHeight="false" outlineLevel="0" collapsed="false">
      <c r="B30" s="24"/>
      <c r="C30" s="25" t="s">
        <v>92</v>
      </c>
      <c r="D30" s="26" t="n">
        <f aca="false">1.375*Assumptions!$C$6</f>
        <v>1718.75</v>
      </c>
      <c r="E30" s="24"/>
    </row>
    <row r="31" customFormat="false" ht="15" hidden="false" customHeight="false" outlineLevel="0" collapsed="false">
      <c r="B31" s="24"/>
      <c r="C31" s="25" t="s">
        <v>74</v>
      </c>
      <c r="D31" s="26" t="n">
        <f aca="false">Assumptions!$C$7</f>
        <v>1500</v>
      </c>
      <c r="E31" s="24"/>
    </row>
    <row r="32" customFormat="false" ht="15" hidden="false" customHeight="false" outlineLevel="0" collapsed="false">
      <c r="B32" s="24"/>
      <c r="C32" s="27" t="s">
        <v>75</v>
      </c>
      <c r="D32" s="29" t="n">
        <f aca="false">D29+D30+D31</f>
        <v>4958.24516242951</v>
      </c>
      <c r="E32" s="24"/>
    </row>
    <row r="34" customFormat="false" ht="15" hidden="false" customHeight="false" outlineLevel="0" collapsed="false">
      <c r="C34" s="4" t="s">
        <v>76</v>
      </c>
      <c r="D34" s="4" t="s">
        <v>77</v>
      </c>
      <c r="E34" s="4" t="s">
        <v>78</v>
      </c>
      <c r="F34" s="4" t="s">
        <v>79</v>
      </c>
    </row>
    <row r="35" customFormat="false" ht="15" hidden="false" customHeight="false" outlineLevel="0" collapsed="false">
      <c r="C35" s="25" t="s">
        <v>80</v>
      </c>
      <c r="D35" s="30" t="n">
        <v>9000</v>
      </c>
      <c r="E35" s="31" t="n">
        <f aca="false">D35-D32</f>
        <v>4041.75483757049</v>
      </c>
      <c r="F35" s="32" t="n">
        <f aca="false">IFERROR(E35/D35,0)</f>
        <v>0.449083870841165</v>
      </c>
    </row>
    <row r="36" customFormat="false" ht="15" hidden="false" customHeight="false" outlineLevel="0" collapsed="false">
      <c r="C36" s="25" t="s">
        <v>81</v>
      </c>
      <c r="D36" s="30" t="n">
        <v>11000</v>
      </c>
      <c r="E36" s="31" t="n">
        <f aca="false">D36-D32</f>
        <v>6041.75483757049</v>
      </c>
      <c r="F36" s="32" t="n">
        <f aca="false">IFERROR(E36/D36,0)</f>
        <v>0.549250439779135</v>
      </c>
    </row>
    <row r="37" customFormat="false" ht="15" hidden="false" customHeight="false" outlineLevel="0" collapsed="false">
      <c r="C37" s="25" t="s">
        <v>82</v>
      </c>
      <c r="D37" s="30" t="n">
        <v>13000</v>
      </c>
      <c r="E37" s="31" t="n">
        <f aca="false">D37-D32</f>
        <v>8041.75483757049</v>
      </c>
      <c r="F37" s="32" t="n">
        <f aca="false">IFERROR(E37/D37,0)</f>
        <v>0.618596525966961</v>
      </c>
    </row>
    <row r="40" customFormat="false" ht="16.15" hidden="false" customHeight="false" outlineLevel="0" collapsed="false">
      <c r="B40" s="21" t="s">
        <v>93</v>
      </c>
      <c r="C40" s="22"/>
      <c r="D40" s="22"/>
      <c r="E40" s="23" t="s">
        <v>94</v>
      </c>
    </row>
    <row r="41" customFormat="false" ht="15" hidden="false" customHeight="false" outlineLevel="0" collapsed="false">
      <c r="B41" s="24"/>
      <c r="C41" s="25" t="s">
        <v>95</v>
      </c>
      <c r="D41" s="33" t="n">
        <f aca="false">'Tier Profitability'!$D$29</f>
        <v>1739.49516242951</v>
      </c>
      <c r="E41" s="24"/>
    </row>
    <row r="42" customFormat="false" ht="15" hidden="false" customHeight="false" outlineLevel="0" collapsed="false">
      <c r="B42" s="24"/>
      <c r="C42" s="25" t="s">
        <v>96</v>
      </c>
      <c r="D42" s="26" t="n">
        <f aca="false">'Product Costs'!$F$28</f>
        <v>0</v>
      </c>
      <c r="E42" s="24"/>
    </row>
    <row r="43" customFormat="false" ht="15" hidden="false" customHeight="false" outlineLevel="0" collapsed="false">
      <c r="B43" s="24"/>
      <c r="C43" s="25" t="s">
        <v>97</v>
      </c>
      <c r="D43" s="26" t="n">
        <f aca="false">'Product Costs'!$F$28</f>
        <v>0</v>
      </c>
      <c r="E43" s="24"/>
    </row>
    <row r="44" customFormat="false" ht="15" hidden="false" customHeight="false" outlineLevel="0" collapsed="false">
      <c r="B44" s="24"/>
      <c r="C44" s="25" t="s">
        <v>98</v>
      </c>
      <c r="D44" s="26" t="n">
        <f aca="false">'Product Costs'!$F$26</f>
        <v>177.75</v>
      </c>
      <c r="E44" s="24"/>
    </row>
    <row r="45" customFormat="false" ht="15" hidden="false" customHeight="false" outlineLevel="0" collapsed="false">
      <c r="B45" s="24"/>
      <c r="C45" s="25" t="s">
        <v>35</v>
      </c>
      <c r="D45" s="26" t="n">
        <f aca="false">'Product Costs'!$F$14</f>
        <v>122.533333333333</v>
      </c>
      <c r="E45" s="24"/>
    </row>
    <row r="46" customFormat="false" ht="15" hidden="false" customHeight="false" outlineLevel="0" collapsed="false">
      <c r="B46" s="24"/>
      <c r="C46" s="27" t="s">
        <v>72</v>
      </c>
      <c r="D46" s="28" t="n">
        <f aca="false">SUM(D41:D45)</f>
        <v>2039.77849576284</v>
      </c>
      <c r="E46" s="24"/>
    </row>
    <row r="47" customFormat="false" ht="15" hidden="false" customHeight="false" outlineLevel="0" collapsed="false">
      <c r="B47" s="24"/>
      <c r="C47" s="25" t="s">
        <v>99</v>
      </c>
      <c r="D47" s="26" t="n">
        <f aca="false">2.5*Assumptions!$C$6</f>
        <v>3125</v>
      </c>
      <c r="E47" s="24"/>
    </row>
    <row r="48" customFormat="false" ht="15" hidden="false" customHeight="false" outlineLevel="0" collapsed="false">
      <c r="B48" s="24"/>
      <c r="C48" s="25" t="s">
        <v>74</v>
      </c>
      <c r="D48" s="26" t="n">
        <f aca="false">Assumptions!$C$7</f>
        <v>1500</v>
      </c>
      <c r="E48" s="24"/>
    </row>
    <row r="49" customFormat="false" ht="15" hidden="false" customHeight="false" outlineLevel="0" collapsed="false">
      <c r="B49" s="24"/>
      <c r="C49" s="27" t="s">
        <v>75</v>
      </c>
      <c r="D49" s="29" t="n">
        <f aca="false">D46+D47+D48</f>
        <v>6664.77849576285</v>
      </c>
      <c r="E49" s="24"/>
    </row>
    <row r="51" customFormat="false" ht="15" hidden="false" customHeight="false" outlineLevel="0" collapsed="false">
      <c r="C51" s="4" t="s">
        <v>76</v>
      </c>
      <c r="D51" s="4" t="s">
        <v>77</v>
      </c>
      <c r="E51" s="4" t="s">
        <v>78</v>
      </c>
      <c r="F51" s="4" t="s">
        <v>79</v>
      </c>
    </row>
    <row r="52" customFormat="false" ht="15" hidden="false" customHeight="false" outlineLevel="0" collapsed="false">
      <c r="C52" s="25" t="s">
        <v>80</v>
      </c>
      <c r="D52" s="30" t="n">
        <v>14500</v>
      </c>
      <c r="E52" s="31" t="n">
        <f aca="false">D52-D49</f>
        <v>7835.22150423716</v>
      </c>
      <c r="F52" s="32" t="n">
        <f aca="false">IFERROR(E52/D52,0)</f>
        <v>0.540360103740494</v>
      </c>
    </row>
    <row r="53" customFormat="false" ht="15" hidden="false" customHeight="false" outlineLevel="0" collapsed="false">
      <c r="C53" s="25" t="s">
        <v>81</v>
      </c>
      <c r="D53" s="30" t="n">
        <v>17500</v>
      </c>
      <c r="E53" s="31" t="n">
        <f aca="false">D53-D49</f>
        <v>10835.2215042372</v>
      </c>
      <c r="F53" s="32" t="n">
        <f aca="false">IFERROR(E53/D53,0)</f>
        <v>0.619155514527838</v>
      </c>
    </row>
    <row r="54" customFormat="false" ht="15" hidden="false" customHeight="false" outlineLevel="0" collapsed="false">
      <c r="C54" s="25" t="s">
        <v>82</v>
      </c>
      <c r="D54" s="30" t="n">
        <v>20500</v>
      </c>
      <c r="E54" s="31" t="n">
        <f aca="false">D54-D49</f>
        <v>13835.2215042372</v>
      </c>
      <c r="F54" s="32" t="n">
        <f aca="false">IFERROR(E54/D54,0)</f>
        <v>0.674888853865227</v>
      </c>
    </row>
    <row r="57" customFormat="false" ht="16.15" hidden="false" customHeight="false" outlineLevel="0" collapsed="false">
      <c r="B57" s="21" t="s">
        <v>100</v>
      </c>
      <c r="C57" s="22"/>
      <c r="D57" s="22"/>
      <c r="E57" s="23" t="s">
        <v>101</v>
      </c>
    </row>
    <row r="58" customFormat="false" ht="15" hidden="false" customHeight="false" outlineLevel="0" collapsed="false">
      <c r="B58" s="24"/>
      <c r="C58" s="25" t="s">
        <v>102</v>
      </c>
      <c r="D58" s="33" t="n">
        <f aca="false">'Tier Profitability'!$D$46</f>
        <v>2039.77849576284</v>
      </c>
      <c r="E58" s="24"/>
    </row>
    <row r="59" customFormat="false" ht="15" hidden="false" customHeight="false" outlineLevel="0" collapsed="false">
      <c r="B59" s="24"/>
      <c r="C59" s="25" t="s">
        <v>103</v>
      </c>
      <c r="D59" s="26" t="n">
        <f aca="false">'Product Costs'!$F$9</f>
        <v>85.9375</v>
      </c>
      <c r="E59" s="24"/>
    </row>
    <row r="60" customFormat="false" ht="15" hidden="false" customHeight="false" outlineLevel="0" collapsed="false">
      <c r="B60" s="24"/>
      <c r="C60" s="25" t="s">
        <v>104</v>
      </c>
      <c r="D60" s="26" t="n">
        <f aca="false">'Product Costs'!$F$27</f>
        <v>227.52</v>
      </c>
      <c r="E60" s="24"/>
    </row>
    <row r="61" customFormat="false" ht="15" hidden="false" customHeight="false" outlineLevel="0" collapsed="false">
      <c r="B61" s="24"/>
      <c r="C61" s="25" t="s">
        <v>31</v>
      </c>
      <c r="D61" s="26" t="n">
        <f aca="false">'Product Costs'!$F$12</f>
        <v>1244.4</v>
      </c>
      <c r="E61" s="24"/>
    </row>
    <row r="62" customFormat="false" ht="15" hidden="false" customHeight="false" outlineLevel="0" collapsed="false">
      <c r="B62" s="24"/>
      <c r="C62" s="25" t="s">
        <v>33</v>
      </c>
      <c r="D62" s="26" t="n">
        <f aca="false">'Product Costs'!$F$13</f>
        <v>156.933333333333</v>
      </c>
      <c r="E62" s="24"/>
    </row>
    <row r="63" customFormat="false" ht="15" hidden="false" customHeight="false" outlineLevel="0" collapsed="false">
      <c r="B63" s="24"/>
      <c r="C63" s="25" t="s">
        <v>40</v>
      </c>
      <c r="D63" s="26" t="n">
        <f aca="false">'Product Costs'!$F$18</f>
        <v>100</v>
      </c>
      <c r="E63" s="24"/>
    </row>
    <row r="64" customFormat="false" ht="15" hidden="false" customHeight="false" outlineLevel="0" collapsed="false">
      <c r="B64" s="24"/>
      <c r="C64" s="25" t="s">
        <v>36</v>
      </c>
      <c r="D64" s="26" t="n">
        <f aca="false">'Product Costs'!$F$15</f>
        <v>168</v>
      </c>
      <c r="E64" s="24"/>
    </row>
    <row r="65" customFormat="false" ht="15" hidden="false" customHeight="false" outlineLevel="0" collapsed="false">
      <c r="B65" s="24"/>
      <c r="C65" s="25" t="s">
        <v>105</v>
      </c>
      <c r="D65" s="26" t="n">
        <f aca="false">'Product Costs'!$F$16</f>
        <v>157.466666666667</v>
      </c>
      <c r="E65" s="24"/>
    </row>
    <row r="66" customFormat="false" ht="15" hidden="false" customHeight="false" outlineLevel="0" collapsed="false">
      <c r="B66" s="24"/>
      <c r="C66" s="27" t="s">
        <v>72</v>
      </c>
      <c r="D66" s="28" t="n">
        <f aca="false">SUM(D58:D65)</f>
        <v>4180.03599576284</v>
      </c>
      <c r="E66" s="24"/>
    </row>
    <row r="67" customFormat="false" ht="15" hidden="false" customHeight="false" outlineLevel="0" collapsed="false">
      <c r="B67" s="24"/>
      <c r="C67" s="25" t="s">
        <v>106</v>
      </c>
      <c r="D67" s="26" t="n">
        <f aca="false">3.5*Assumptions!$C$6</f>
        <v>4375</v>
      </c>
      <c r="E67" s="24"/>
    </row>
    <row r="68" customFormat="false" ht="15" hidden="false" customHeight="false" outlineLevel="0" collapsed="false">
      <c r="B68" s="24"/>
      <c r="C68" s="25" t="s">
        <v>74</v>
      </c>
      <c r="D68" s="26" t="n">
        <f aca="false">Assumptions!$C$7</f>
        <v>1500</v>
      </c>
      <c r="E68" s="24"/>
    </row>
    <row r="69" customFormat="false" ht="15" hidden="false" customHeight="false" outlineLevel="0" collapsed="false">
      <c r="B69" s="24"/>
      <c r="C69" s="27" t="s">
        <v>75</v>
      </c>
      <c r="D69" s="29" t="n">
        <f aca="false">D66+D67+D68</f>
        <v>10055.0359957628</v>
      </c>
      <c r="E69" s="24"/>
    </row>
    <row r="71" customFormat="false" ht="15" hidden="false" customHeight="false" outlineLevel="0" collapsed="false">
      <c r="C71" s="4" t="s">
        <v>76</v>
      </c>
      <c r="D71" s="4" t="s">
        <v>77</v>
      </c>
      <c r="E71" s="4" t="s">
        <v>78</v>
      </c>
      <c r="F71" s="4" t="s">
        <v>79</v>
      </c>
    </row>
    <row r="72" customFormat="false" ht="15" hidden="false" customHeight="false" outlineLevel="0" collapsed="false">
      <c r="C72" s="25" t="s">
        <v>80</v>
      </c>
      <c r="D72" s="30" t="n">
        <v>25500</v>
      </c>
      <c r="E72" s="31" t="n">
        <f aca="false">D72-D69</f>
        <v>15444.9640042372</v>
      </c>
      <c r="F72" s="32" t="n">
        <f aca="false">IFERROR(E72/D72,0)</f>
        <v>0.605684862911261</v>
      </c>
    </row>
    <row r="73" customFormat="false" ht="15" hidden="false" customHeight="false" outlineLevel="0" collapsed="false">
      <c r="C73" s="25" t="s">
        <v>81</v>
      </c>
      <c r="D73" s="30" t="n">
        <v>31500</v>
      </c>
      <c r="E73" s="31" t="n">
        <f aca="false">D73-D69</f>
        <v>21444.9640042372</v>
      </c>
      <c r="F73" s="32" t="n">
        <f aca="false">IFERROR(E73/D73,0)</f>
        <v>0.680792508071021</v>
      </c>
    </row>
    <row r="74" customFormat="false" ht="15" hidden="false" customHeight="false" outlineLevel="0" collapsed="false">
      <c r="C74" s="25" t="s">
        <v>82</v>
      </c>
      <c r="D74" s="30" t="n">
        <v>37000</v>
      </c>
      <c r="E74" s="31" t="n">
        <f aca="false">D74-D69</f>
        <v>26944.9640042372</v>
      </c>
      <c r="F74" s="32" t="n">
        <f aca="false">IFERROR(E74/D74,0)</f>
        <v>0.728242270384788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2026-08-19T18:35:56Z</dcterms:created>
  <dc:creator>openpyxl</dc:creator>
  <dc:description/>
  <dc:language>en-US</dc:language>
  <cp:lastModifiedBy/>
  <dcterms:modified xsi:type="dcterms:W3CDTF">2026-08-19T18:38:37Z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